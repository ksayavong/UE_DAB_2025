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0" documentId="8_{BD316D9E-0B25-4B89-81EA-A9F48171256D}" xr6:coauthVersionLast="47" xr6:coauthVersionMax="47" xr10:uidLastSave="{00000000-0000-0000-0000-000000000000}"/>
  <bookViews>
    <workbookView xWindow="0" yWindow="0" windowWidth="16384" windowHeight="8192" tabRatio="500" activeTab="5" xr2:uid="{00000000-000D-0000-FFFF-FFFF00000000}"/>
  </bookViews>
  <sheets>
    <sheet name="PT1 - Salary by Category" sheetId="1" r:id="rId1"/>
    <sheet name="PT2 - Jobs by Sector" sheetId="2" r:id="rId2"/>
    <sheet name="PT3 - Salary by State" sheetId="3" r:id="rId3"/>
    <sheet name="PT4 - Rating by Size" sheetId="4" r:id="rId4"/>
    <sheet name="Chart - Salary Distribution" sheetId="5" r:id="rId5"/>
    <sheet name="Combined Analysis" sheetId="6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8" i="2" l="1"/>
  <c r="E14" i="1"/>
  <c r="B14" i="1"/>
</calcChain>
</file>

<file path=xl/sharedStrings.xml><?xml version="1.0" encoding="utf-8"?>
<sst xmlns="http://schemas.openxmlformats.org/spreadsheetml/2006/main" count="127" uniqueCount="113">
  <si>
    <t>Pivot Table 1: Average Salary by Job Category</t>
  </si>
  <si>
    <t>Business Question: Which data science roles command the highest compensation?</t>
  </si>
  <si>
    <t>Job Category</t>
  </si>
  <si>
    <t>Avg Salary (K)</t>
  </si>
  <si>
    <t>Min Salary (K)</t>
  </si>
  <si>
    <t>Max Salary (K)</t>
  </si>
  <si>
    <t>Job Count</t>
  </si>
  <si>
    <t>Data Science Manager</t>
  </si>
  <si>
    <t>Lead/Principal Data Scientist</t>
  </si>
  <si>
    <t>Other</t>
  </si>
  <si>
    <t>Data Scientist</t>
  </si>
  <si>
    <t>Senior Data Scientist</t>
  </si>
  <si>
    <t>Machine Learning Engineer</t>
  </si>
  <si>
    <t>Data Analyst</t>
  </si>
  <si>
    <t>Data Engineer</t>
  </si>
  <si>
    <t>Director/VP</t>
  </si>
  <si>
    <t>Grand Total</t>
  </si>
  <si>
    <t>Key Insights:</t>
  </si>
  <si>
    <t>• Data Science Managers earn the highest average salary (~$180K), followed by Lead/Principal Data Scientists (~$139K).</t>
  </si>
  <si>
    <t>• Standard Data Scientists (388 postings) dominate the market, averaging ~$126K.</t>
  </si>
  <si>
    <t>• Data Analysts and Engineers command slightly lower compensation, averaging ~$114-116K.</t>
  </si>
  <si>
    <t>• Business Impact: Compensation benchmarks help HR departments set competitive salary ranges.</t>
  </si>
  <si>
    <t>Pivot Table 2: Data Science Job Count by Sector</t>
  </si>
  <si>
    <t>Business Question: Which industry sectors have the most demand for data science talent?</t>
  </si>
  <si>
    <t>Sector</t>
  </si>
  <si>
    <t>% of Total</t>
  </si>
  <si>
    <t>Information Technology</t>
  </si>
  <si>
    <t>Business Services</t>
  </si>
  <si>
    <t>Unknown</t>
  </si>
  <si>
    <t>Biotech &amp; Pharmaceuticals</t>
  </si>
  <si>
    <t>Aerospace &amp; Defense</t>
  </si>
  <si>
    <t>Finance</t>
  </si>
  <si>
    <t>Insurance</t>
  </si>
  <si>
    <t>Manufacturing</t>
  </si>
  <si>
    <t>Health Care</t>
  </si>
  <si>
    <t>Government</t>
  </si>
  <si>
    <t>Oil, Gas, Energy &amp; Utilities</t>
  </si>
  <si>
    <t>Telecommunications</t>
  </si>
  <si>
    <t>Retail</t>
  </si>
  <si>
    <t>Transportation &amp; Logistics</t>
  </si>
  <si>
    <t>Media</t>
  </si>
  <si>
    <t>Education</t>
  </si>
  <si>
    <t>Real Estate</t>
  </si>
  <si>
    <t>Accounting &amp; Legal</t>
  </si>
  <si>
    <t>Agriculture &amp; Forestry</t>
  </si>
  <si>
    <t>Travel &amp; Tourism</t>
  </si>
  <si>
    <t>Construction, Repair &amp; Maintenance</t>
  </si>
  <si>
    <t>Consumer Services</t>
  </si>
  <si>
    <t>Non-Profit</t>
  </si>
  <si>
    <t>Total</t>
  </si>
  <si>
    <t>100.0%</t>
  </si>
  <si>
    <t>• Information Technology leads with 188 postings (28% of all jobs), confirming tech is the top employer of data scientists.</t>
  </si>
  <si>
    <t>• Business Services follows at 120 postings (17.9%), highlighting cross-industry demand.</t>
  </si>
  <si>
    <t>• Biotech &amp; Pharmaceuticals ranks 4th (66 jobs), showing strong life-sciences demand.</t>
  </si>
  <si>
    <t>• Business Impact: Candidates should prioritize IT and Business Services sectors for the most opportunities.</t>
  </si>
  <si>
    <t>Pivot Table 3: Average Data Science Salary by State (Top 10 by Volume)</t>
  </si>
  <si>
    <t>Business Question: Which US states offer the highest data science compensation?</t>
  </si>
  <si>
    <t>State</t>
  </si>
  <si>
    <t>CA</t>
  </si>
  <si>
    <t>VA</t>
  </si>
  <si>
    <t>MA</t>
  </si>
  <si>
    <t>NY</t>
  </si>
  <si>
    <t>MD</t>
  </si>
  <si>
    <t>IL</t>
  </si>
  <si>
    <t>DC</t>
  </si>
  <si>
    <t>TX</t>
  </si>
  <si>
    <t>WA</t>
  </si>
  <si>
    <t>OH</t>
  </si>
  <si>
    <t>• California dominates job volume (165 postings) but averages $120.6K — below DC ($139.5K) and NY ($136.4K).</t>
  </si>
  <si>
    <t>• Washington DC and New York offer the highest average salaries among top-volume states.</t>
  </si>
  <si>
    <t>• Virginia ranks 2nd in volume (89 jobs), driven by government/defense sector demand.</t>
  </si>
  <si>
    <t>• Business Impact: Job seekers should weigh cost-of-living adjusted salaries across high-volume states.</t>
  </si>
  <si>
    <t>Pivot Table 4: Average Company Rating by Employee Size</t>
  </si>
  <si>
    <t>Business Question: Does company size correlate with employee satisfaction?</t>
  </si>
  <si>
    <t>Company Size</t>
  </si>
  <si>
    <t>Avg Rating</t>
  </si>
  <si>
    <t>1 to 50 employees</t>
  </si>
  <si>
    <t>51 to 200 employees</t>
  </si>
  <si>
    <t>201 to 500 employees</t>
  </si>
  <si>
    <t>501 to 1000 employees</t>
  </si>
  <si>
    <t>1001 to 5000 employees</t>
  </si>
  <si>
    <t>5001 to 10000 employees</t>
  </si>
  <si>
    <t>10000+ employees</t>
  </si>
  <si>
    <t>• Small companies (1-50 employees) have the highest average rating (4.37), suggesting better culture/work-life balance.</t>
  </si>
  <si>
    <t>• Large enterprises (10,000+ employees) have the lowest rating (3.70), possibly due to bureaucracy.</t>
  </si>
  <si>
    <t>• Mid-size companies (51-500) score well (3.99-4.00) and represent a strong talent pipeline.</t>
  </si>
  <si>
    <t>• Business Impact: Companies should monitor employer brand; smaller firms have a competitive culture advantage.</t>
  </si>
  <si>
    <t>Chart: Distribution of Average Salaries</t>
  </si>
  <si>
    <t>Business Question: How are data science salaries distributed across the market?</t>
  </si>
  <si>
    <t>Salary Range</t>
  </si>
  <si>
    <t>Number of Jobs</t>
  </si>
  <si>
    <t>&lt;$75K</t>
  </si>
  <si>
    <t>$75-100K</t>
  </si>
  <si>
    <t>$100-125K</t>
  </si>
  <si>
    <t>$125-150K</t>
  </si>
  <si>
    <t>$150-175K</t>
  </si>
  <si>
    <t>$175-200K</t>
  </si>
  <si>
    <t>&gt;$200K</t>
  </si>
  <si>
    <t>• The majority of roles (41.8%) fall in the $100-125K range, representing the market 'sweet spot'.</t>
  </si>
  <si>
    <t>• Only ~3% of postings offer under $75K, indicating data science is a high-compensation field overall.</t>
  </si>
  <si>
    <t>• Approximately 19.9% of jobs exceed $150K, suggesting strong upside for experienced professionals.</t>
  </si>
  <si>
    <t>Combined Analysis: Data Science Job Market Insights</t>
  </si>
  <si>
    <t>Summary of Key Findings</t>
  </si>
  <si>
    <t>Market Demand</t>
  </si>
  <si>
    <t>Information Technology and Business Services sectors account for nearly 46% of all postings. Data Scientist (plain) remains the dominant title at 57.7% of all jobs.</t>
  </si>
  <si>
    <t>Compensation</t>
  </si>
  <si>
    <t>Average market salary is $123.7K. Management roles earn 44% more than analyst roles ($180K vs $116K). DC and NY offer top pay by state.</t>
  </si>
  <si>
    <t>Employer Quality</t>
  </si>
  <si>
    <t>Smaller companies (1-50 employees) earn higher ratings (4.37 avg) vs large enterprises (3.70). This is actionable for candidates prioritizing culture.</t>
  </si>
  <si>
    <t>Geographic Opportunity</t>
  </si>
  <si>
    <t>California leads in volume but not pay. DC, NY, and TX offer above-average compensation relative to job volume, suggesting less competition per dollar.</t>
  </si>
  <si>
    <t>Salary Distribution</t>
  </si>
  <si>
    <t>Market is normally distributed around $100-125K. A significant 20% of roles exceed $150K, showing strong earning potential for senior talent.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</si>
</sst>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\%"/>
  </numFmts>
  <fonts count="11">
    <font>
      <sz val="11"/>
      <color theme="1"/>
      <name val="Calibri"/>
      <family val="2"/>
      <charset val="1"/>
    </font>
    <font>
      <b/>
      <sz val="14"/>
      <color rgb="FF1B2631"/>
      <name val="Arial"/>
      <charset val="1"/>
    </font>
    <font>
      <i/>
      <sz val="10"/>
      <color rgb="FF1A5276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  <font>
      <sz val="10"/>
      <color rgb="FF000000"/>
      <name val="Arial"/>
    </font>
    <font>
      <sz val="10"/>
      <color rgb="FF000000"/>
      <name val="Arial"/>
      <charset val="1"/>
    </font>
    <font>
      <b/>
      <sz val="11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E86C1"/>
        <bgColor rgb="FF4F81BD"/>
      </patternFill>
    </fill>
    <fill>
      <patternFill patternType="solid">
        <fgColor rgb="FFD6EAF8"/>
        <bgColor rgb="FFD9D9D9"/>
      </patternFill>
    </fill>
    <fill>
      <patternFill patternType="solid">
        <fgColor rgb="FFAED6F1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center"/>
    </xf>
    <xf numFmtId="164" fontId="4" fillId="3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5" fillId="4" borderId="0" xfId="0" applyFont="1" applyFill="1"/>
    <xf numFmtId="164" fontId="0" fillId="4" borderId="0" xfId="0" applyNumberFormat="1" applyFill="1"/>
    <xf numFmtId="0" fontId="0" fillId="4" borderId="0" xfId="0" applyFill="1"/>
    <xf numFmtId="0" fontId="5" fillId="0" borderId="0" xfId="0" applyFont="1"/>
    <xf numFmtId="0" fontId="4" fillId="0" borderId="0" xfId="0" applyFont="1"/>
    <xf numFmtId="165" fontId="4" fillId="3" borderId="0" xfId="0" applyNumberFormat="1" applyFont="1" applyFill="1" applyAlignment="1">
      <alignment vertical="center"/>
    </xf>
    <xf numFmtId="165" fontId="4" fillId="0" borderId="0" xfId="0" applyNumberFormat="1" applyFont="1" applyAlignment="1">
      <alignment vertical="center"/>
    </xf>
    <xf numFmtId="0" fontId="6" fillId="4" borderId="0" xfId="0" applyFont="1" applyFill="1"/>
    <xf numFmtId="2" fontId="4" fillId="3" borderId="0" xfId="0" applyNumberFormat="1" applyFont="1" applyFill="1" applyAlignment="1">
      <alignment vertical="center"/>
    </xf>
    <xf numFmtId="2" fontId="4" fillId="0" borderId="0" xfId="0" applyNumberFormat="1" applyFont="1" applyAlignment="1">
      <alignment vertical="center"/>
    </xf>
    <xf numFmtId="0" fontId="7" fillId="0" borderId="0" xfId="0" applyFont="1"/>
    <xf numFmtId="0" fontId="4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ED6F1"/>
      <rgbColor rgb="FFFF99CC"/>
      <rgbColor rgb="FFCC99FF"/>
      <rgbColor rgb="FFFFCC99"/>
      <rgbColor rgb="FF2E86C1"/>
      <rgbColor rgb="FF33CCCC"/>
      <rgbColor rgb="FF99CC00"/>
      <rgbColor rgb="FFFFCC00"/>
      <rgbColor rgb="FFFF9900"/>
      <rgbColor rgb="FFFF6600"/>
      <rgbColor rgb="FF4F81BD"/>
      <rgbColor rgb="FF969696"/>
      <rgbColor rgb="FF1A5276"/>
      <rgbColor rgb="FF339966"/>
      <rgbColor rgb="FF003300"/>
      <rgbColor rgb="FF333300"/>
      <rgbColor rgb="FF993300"/>
      <rgbColor rgb="FF993366"/>
      <rgbColor rgb="FF333399"/>
      <rgbColor rgb="FF1B263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Salary by Job Category (K)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'PT1 - Salary by Category'!B4</c:f>
              <c:strCache>
                <c:ptCount val="1"/>
                <c:pt idx="0">
                  <c:v>Avg Salary (K)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'PT1 - Salary by Category'!$A$5:$A$13</c:f>
              <c:strCache>
                <c:ptCount val="9"/>
                <c:pt idx="0">
                  <c:v>Data Science Manager</c:v>
                </c:pt>
                <c:pt idx="1">
                  <c:v>Lead/Principal Data Scientist</c:v>
                </c:pt>
                <c:pt idx="2">
                  <c:v>Other</c:v>
                </c:pt>
                <c:pt idx="3">
                  <c:v>Data Scientist</c:v>
                </c:pt>
                <c:pt idx="4">
                  <c:v>Senior Data Scientist</c:v>
                </c:pt>
                <c:pt idx="5">
                  <c:v>Machine Learning Engineer</c:v>
                </c:pt>
                <c:pt idx="6">
                  <c:v>Data Analyst</c:v>
                </c:pt>
                <c:pt idx="7">
                  <c:v>Data Engineer</c:v>
                </c:pt>
                <c:pt idx="8">
                  <c:v>Director/VP</c:v>
                </c:pt>
              </c:strCache>
            </c:strRef>
          </c:cat>
          <c:val>
            <c:numRef>
              <c:f>'PT1 - Salary by Category'!$B$5:$B$13</c:f>
              <c:numCache>
                <c:formatCode>#,##0.0</c:formatCode>
                <c:ptCount val="9"/>
                <c:pt idx="0">
                  <c:v>180.3</c:v>
                </c:pt>
                <c:pt idx="1">
                  <c:v>138.5</c:v>
                </c:pt>
                <c:pt idx="2">
                  <c:v>126.6</c:v>
                </c:pt>
                <c:pt idx="3">
                  <c:v>125.5</c:v>
                </c:pt>
                <c:pt idx="4">
                  <c:v>122.6</c:v>
                </c:pt>
                <c:pt idx="5">
                  <c:v>120.7</c:v>
                </c:pt>
                <c:pt idx="6">
                  <c:v>115.6</c:v>
                </c:pt>
                <c:pt idx="7">
                  <c:v>113.8</c:v>
                </c:pt>
                <c:pt idx="8">
                  <c:v>107.7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3-4AEF-8DA2-C7CB7F9E3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645576"/>
        <c:axId val="23699351"/>
      </c:barChart>
      <c:catAx>
        <c:axId val="6064557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Average Salary ($K)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699351"/>
        <c:crosses val="autoZero"/>
        <c:auto val="1"/>
        <c:lblAlgn val="ctr"/>
        <c:lblOffset val="100"/>
        <c:noMultiLvlLbl val="0"/>
      </c:catAx>
      <c:valAx>
        <c:axId val="2369935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Job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6455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6 Sectors by Job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tLst>
            <c:ext xmlns:c16="http://schemas.microsoft.com/office/drawing/2014/chart" uri="{C3380CC4-5D6E-409C-BE32-E72D297353CC}">
              <c16:uniqueId val="{00000000-92BB-4994-8B7A-0B8F69EEB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Salary by State (Top 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'PT3 - Salary by State'!C4</c:f>
              <c:strCache>
                <c:ptCount val="1"/>
                <c:pt idx="0">
                  <c:v>Avg Salary (K)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'PT3 - Salary by State'!$A$5:$A$14</c:f>
              <c:strCache>
                <c:ptCount val="10"/>
                <c:pt idx="0">
                  <c:v>CA</c:v>
                </c:pt>
                <c:pt idx="1">
                  <c:v>VA</c:v>
                </c:pt>
                <c:pt idx="2">
                  <c:v>MA</c:v>
                </c:pt>
                <c:pt idx="3">
                  <c:v>NY</c:v>
                </c:pt>
                <c:pt idx="4">
                  <c:v>MD</c:v>
                </c:pt>
                <c:pt idx="5">
                  <c:v>IL</c:v>
                </c:pt>
                <c:pt idx="6">
                  <c:v>DC</c:v>
                </c:pt>
                <c:pt idx="7">
                  <c:v>TX</c:v>
                </c:pt>
                <c:pt idx="8">
                  <c:v>WA</c:v>
                </c:pt>
                <c:pt idx="9">
                  <c:v>OH</c:v>
                </c:pt>
              </c:strCache>
            </c:strRef>
          </c:cat>
          <c:val>
            <c:numRef>
              <c:f>'PT3 - Salary by State'!$C$5:$C$14</c:f>
              <c:numCache>
                <c:formatCode>#,##0.0</c:formatCode>
                <c:ptCount val="10"/>
                <c:pt idx="0">
                  <c:v>120.6</c:v>
                </c:pt>
                <c:pt idx="1">
                  <c:v>126.8</c:v>
                </c:pt>
                <c:pt idx="2">
                  <c:v>122</c:v>
                </c:pt>
                <c:pt idx="3">
                  <c:v>136.4</c:v>
                </c:pt>
                <c:pt idx="4">
                  <c:v>112.4</c:v>
                </c:pt>
                <c:pt idx="5">
                  <c:v>120.9</c:v>
                </c:pt>
                <c:pt idx="6">
                  <c:v>139.5</c:v>
                </c:pt>
                <c:pt idx="7">
                  <c:v>136.1</c:v>
                </c:pt>
                <c:pt idx="8">
                  <c:v>134.80000000000001</c:v>
                </c:pt>
                <c:pt idx="9">
                  <c:v>121.7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9-468C-BFDD-1CC7F44EC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432469"/>
        <c:axId val="13818138"/>
      </c:barChart>
      <c:catAx>
        <c:axId val="484324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State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818138"/>
        <c:crosses val="autoZero"/>
        <c:auto val="1"/>
        <c:lblAlgn val="ctr"/>
        <c:lblOffset val="100"/>
        <c:noMultiLvlLbl val="0"/>
      </c:catAx>
      <c:valAx>
        <c:axId val="138181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Average Salary ($K)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4324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Company Rating by Employee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'PT4 - Rating by Size'!B4</c:f>
              <c:strCache>
                <c:ptCount val="1"/>
                <c:pt idx="0">
                  <c:v>Avg Rating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'PT4 - Rating by Size'!$A$5:$A$12</c:f>
              <c:strCache>
                <c:ptCount val="8"/>
                <c:pt idx="0">
                  <c:v>1 to 50 employees</c:v>
                </c:pt>
                <c:pt idx="1">
                  <c:v>51 to 200 employees</c:v>
                </c:pt>
                <c:pt idx="2">
                  <c:v>201 to 500 employees</c:v>
                </c:pt>
                <c:pt idx="3">
                  <c:v>501 to 1000 employees</c:v>
                </c:pt>
                <c:pt idx="4">
                  <c:v>1001 to 5000 employees</c:v>
                </c:pt>
                <c:pt idx="5">
                  <c:v>5001 to 10000 employees</c:v>
                </c:pt>
                <c:pt idx="6">
                  <c:v>10000+ employees</c:v>
                </c:pt>
                <c:pt idx="7">
                  <c:v>Unknown</c:v>
                </c:pt>
              </c:strCache>
            </c:strRef>
          </c:cat>
          <c:val>
            <c:numRef>
              <c:f>'PT4 - Rating by Size'!$B$5:$B$12</c:f>
              <c:numCache>
                <c:formatCode>0.00</c:formatCode>
                <c:ptCount val="8"/>
                <c:pt idx="0">
                  <c:v>4.37</c:v>
                </c:pt>
                <c:pt idx="1">
                  <c:v>4</c:v>
                </c:pt>
                <c:pt idx="2">
                  <c:v>3.99</c:v>
                </c:pt>
                <c:pt idx="3">
                  <c:v>3.73</c:v>
                </c:pt>
                <c:pt idx="4">
                  <c:v>3.62</c:v>
                </c:pt>
                <c:pt idx="5">
                  <c:v>3.73</c:v>
                </c:pt>
                <c:pt idx="6">
                  <c:v>3.7</c:v>
                </c:pt>
                <c:pt idx="7">
                  <c:v>4.12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89-4B5F-9BB8-62F4FCE2C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80904"/>
        <c:axId val="52345838"/>
      </c:barChart>
      <c:catAx>
        <c:axId val="400809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Company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345838"/>
        <c:crosses val="autoZero"/>
        <c:auto val="1"/>
        <c:lblAlgn val="ctr"/>
        <c:lblOffset val="100"/>
        <c:noMultiLvlLbl val="0"/>
      </c:catAx>
      <c:valAx>
        <c:axId val="52345838"/>
        <c:scaling>
          <c:orientation val="minMax"/>
          <c:min val="3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Average Rating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0809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Data Science Salary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- Salary Distribution'!B4</c:f>
              <c:strCache>
                <c:ptCount val="1"/>
                <c:pt idx="0">
                  <c:v>Number of Jobs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- Salary Distribution'!$A$5:$A$11</c:f>
              <c:strCache>
                <c:ptCount val="7"/>
                <c:pt idx="0">
                  <c:v>&lt;$75K</c:v>
                </c:pt>
                <c:pt idx="1">
                  <c:v>$75-100K</c:v>
                </c:pt>
                <c:pt idx="2">
                  <c:v>$100-125K</c:v>
                </c:pt>
                <c:pt idx="3">
                  <c:v>$125-150K</c:v>
                </c:pt>
                <c:pt idx="4">
                  <c:v>$150-175K</c:v>
                </c:pt>
                <c:pt idx="5">
                  <c:v>$175-200K</c:v>
                </c:pt>
                <c:pt idx="6">
                  <c:v>&gt;$200K</c:v>
                </c:pt>
              </c:strCache>
            </c:strRef>
          </c:cat>
          <c:val>
            <c:numRef>
              <c:f>'Chart - Salary Distribution'!$B$5:$B$11</c:f>
              <c:numCache>
                <c:formatCode>General</c:formatCode>
                <c:ptCount val="7"/>
                <c:pt idx="0">
                  <c:v>20</c:v>
                </c:pt>
                <c:pt idx="1">
                  <c:v>134</c:v>
                </c:pt>
                <c:pt idx="2">
                  <c:v>281</c:v>
                </c:pt>
                <c:pt idx="3">
                  <c:v>104</c:v>
                </c:pt>
                <c:pt idx="4">
                  <c:v>72</c:v>
                </c:pt>
                <c:pt idx="5">
                  <c:v>40</c:v>
                </c:pt>
                <c:pt idx="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9-425F-AE38-2BA03539A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828484"/>
        <c:axId val="12511923"/>
      </c:barChart>
      <c:catAx>
        <c:axId val="978284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Salary Range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511923"/>
        <c:crosses val="autoZero"/>
        <c:auto val="1"/>
        <c:lblAlgn val="ctr"/>
        <c:lblOffset val="100"/>
        <c:noMultiLvlLbl val="0"/>
      </c:catAx>
      <c:valAx>
        <c:axId val="125119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Job Postings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8284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19</xdr:col>
      <xdr:colOff>735</xdr:colOff>
      <xdr:row>25</xdr:row>
      <xdr:rowOff>162900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17</xdr:col>
      <xdr:colOff>473040</xdr:colOff>
      <xdr:row>27</xdr:row>
      <xdr:rowOff>48600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19</xdr:col>
      <xdr:colOff>375</xdr:colOff>
      <xdr:row>27</xdr:row>
      <xdr:rowOff>48600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18</xdr:col>
      <xdr:colOff>735</xdr:colOff>
      <xdr:row>27</xdr:row>
      <xdr:rowOff>48600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17</xdr:col>
      <xdr:colOff>375</xdr:colOff>
      <xdr:row>27</xdr:row>
      <xdr:rowOff>48600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zoomScaleNormal="100" workbookViewId="0">
      <selection activeCell="B20" sqref="B20"/>
    </sheetView>
  </sheetViews>
  <sheetFormatPr defaultColWidth="8.7109375" defaultRowHeight="15"/>
  <cols>
    <col min="1" max="1" width="30" customWidth="1"/>
    <col min="2" max="4" width="16" customWidth="1"/>
    <col min="5" max="5" width="12" customWidth="1"/>
  </cols>
  <sheetData>
    <row r="1" spans="1:5" ht="25.5" customHeight="1">
      <c r="A1" s="1" t="s">
        <v>0</v>
      </c>
    </row>
    <row r="2" spans="1:5" ht="18" customHeight="1">
      <c r="A2" s="21" t="s">
        <v>1</v>
      </c>
    </row>
    <row r="4" spans="1: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>
      <c r="A5" s="4" t="s">
        <v>7</v>
      </c>
      <c r="B5" s="5">
        <v>180.3</v>
      </c>
      <c r="C5" s="5">
        <v>105</v>
      </c>
      <c r="D5" s="5">
        <v>271.5</v>
      </c>
      <c r="E5" s="4">
        <v>3</v>
      </c>
    </row>
    <row r="6" spans="1:5">
      <c r="A6" s="6" t="s">
        <v>8</v>
      </c>
      <c r="B6" s="7">
        <v>138.5</v>
      </c>
      <c r="C6" s="7">
        <v>76.5</v>
      </c>
      <c r="D6" s="7">
        <v>271.5</v>
      </c>
      <c r="E6" s="6">
        <v>11</v>
      </c>
    </row>
    <row r="7" spans="1:5">
      <c r="A7" s="4" t="s">
        <v>9</v>
      </c>
      <c r="B7" s="5">
        <v>126.6</v>
      </c>
      <c r="C7" s="5">
        <v>43.5</v>
      </c>
      <c r="D7" s="5">
        <v>271.5</v>
      </c>
      <c r="E7" s="4">
        <v>62</v>
      </c>
    </row>
    <row r="8" spans="1:5">
      <c r="A8" s="6" t="s">
        <v>10</v>
      </c>
      <c r="B8" s="7">
        <v>125.5</v>
      </c>
      <c r="C8" s="7">
        <v>43.5</v>
      </c>
      <c r="D8" s="7">
        <v>271.5</v>
      </c>
      <c r="E8" s="6">
        <v>388</v>
      </c>
    </row>
    <row r="9" spans="1:5">
      <c r="A9" s="4" t="s">
        <v>11</v>
      </c>
      <c r="B9" s="5">
        <v>122.6</v>
      </c>
      <c r="C9" s="5">
        <v>43.5</v>
      </c>
      <c r="D9" s="5">
        <v>271.5</v>
      </c>
      <c r="E9" s="4">
        <v>45</v>
      </c>
    </row>
    <row r="10" spans="1:5">
      <c r="A10" s="6" t="s">
        <v>12</v>
      </c>
      <c r="B10" s="7">
        <v>120.7</v>
      </c>
      <c r="C10" s="7">
        <v>43.5</v>
      </c>
      <c r="D10" s="7">
        <v>271.5</v>
      </c>
      <c r="E10" s="6">
        <v>49</v>
      </c>
    </row>
    <row r="11" spans="1:5">
      <c r="A11" s="4" t="s">
        <v>13</v>
      </c>
      <c r="B11" s="5">
        <v>115.6</v>
      </c>
      <c r="C11" s="5">
        <v>43.5</v>
      </c>
      <c r="D11" s="5">
        <v>185</v>
      </c>
      <c r="E11" s="4">
        <v>62</v>
      </c>
    </row>
    <row r="12" spans="1:5">
      <c r="A12" s="6" t="s">
        <v>14</v>
      </c>
      <c r="B12" s="7">
        <v>113.8</v>
      </c>
      <c r="C12" s="7">
        <v>43.5</v>
      </c>
      <c r="D12" s="7">
        <v>164.5</v>
      </c>
      <c r="E12" s="6">
        <v>47</v>
      </c>
    </row>
    <row r="13" spans="1:5">
      <c r="A13" s="4" t="s">
        <v>15</v>
      </c>
      <c r="B13" s="5">
        <v>107.7</v>
      </c>
      <c r="C13" s="5">
        <v>43.5</v>
      </c>
      <c r="D13" s="5">
        <v>185</v>
      </c>
      <c r="E13" s="4">
        <v>5</v>
      </c>
    </row>
    <row r="14" spans="1:5">
      <c r="A14" s="8" t="s">
        <v>16</v>
      </c>
      <c r="B14" s="9">
        <f>AVERAGE(B5:B13)</f>
        <v>127.92222222222225</v>
      </c>
      <c r="E14" s="10">
        <f>SUM(E5:E13)</f>
        <v>672</v>
      </c>
    </row>
    <row r="16" spans="1:5">
      <c r="A16" s="11" t="s">
        <v>17</v>
      </c>
    </row>
    <row r="17" spans="1:1">
      <c r="A17" s="12" t="s">
        <v>18</v>
      </c>
    </row>
    <row r="18" spans="1:1">
      <c r="A18" s="12" t="s">
        <v>19</v>
      </c>
    </row>
    <row r="19" spans="1:1">
      <c r="A19" s="12" t="s">
        <v>20</v>
      </c>
    </row>
    <row r="20" spans="1:1" ht="36">
      <c r="A20" s="20" t="s">
        <v>21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zoomScaleNormal="100" workbookViewId="0">
      <selection activeCell="A2" sqref="A2"/>
    </sheetView>
  </sheetViews>
  <sheetFormatPr defaultColWidth="8.7109375" defaultRowHeight="15"/>
  <cols>
    <col min="1" max="1" width="36" customWidth="1"/>
    <col min="2" max="2" width="12" customWidth="1"/>
    <col min="3" max="3" width="14" customWidth="1"/>
    <col min="4" max="4" width="16" customWidth="1"/>
  </cols>
  <sheetData>
    <row r="1" spans="1:4" ht="25.5" customHeight="1">
      <c r="A1" s="1" t="s">
        <v>22</v>
      </c>
    </row>
    <row r="2" spans="1:4" ht="18" customHeight="1">
      <c r="A2" s="21" t="s">
        <v>23</v>
      </c>
    </row>
    <row r="4" spans="1:4">
      <c r="A4" s="3" t="s">
        <v>24</v>
      </c>
      <c r="B4" s="3" t="s">
        <v>6</v>
      </c>
      <c r="C4" s="3" t="s">
        <v>25</v>
      </c>
      <c r="D4" s="3" t="s">
        <v>3</v>
      </c>
    </row>
    <row r="5" spans="1:4">
      <c r="A5" s="4" t="s">
        <v>26</v>
      </c>
      <c r="B5" s="4">
        <v>188</v>
      </c>
      <c r="C5" s="13">
        <v>28</v>
      </c>
      <c r="D5" s="5">
        <v>118.9</v>
      </c>
    </row>
    <row r="6" spans="1:4">
      <c r="A6" s="6" t="s">
        <v>27</v>
      </c>
      <c r="B6" s="6">
        <v>120</v>
      </c>
      <c r="C6" s="14">
        <v>17.899999999999999</v>
      </c>
      <c r="D6" s="7">
        <v>130.1</v>
      </c>
    </row>
    <row r="7" spans="1:4">
      <c r="A7" s="4" t="s">
        <v>28</v>
      </c>
      <c r="B7" s="4">
        <v>71</v>
      </c>
      <c r="C7" s="13">
        <v>10.6</v>
      </c>
      <c r="D7" s="5">
        <v>129.69999999999999</v>
      </c>
    </row>
    <row r="8" spans="1:4">
      <c r="A8" s="6" t="s">
        <v>29</v>
      </c>
      <c r="B8" s="6">
        <v>66</v>
      </c>
      <c r="C8" s="14">
        <v>9.8000000000000007</v>
      </c>
      <c r="D8" s="7">
        <v>122.9</v>
      </c>
    </row>
    <row r="9" spans="1:4">
      <c r="A9" s="4" t="s">
        <v>30</v>
      </c>
      <c r="B9" s="4">
        <v>46</v>
      </c>
      <c r="C9" s="13">
        <v>6.8</v>
      </c>
      <c r="D9" s="5">
        <v>132.69999999999999</v>
      </c>
    </row>
    <row r="10" spans="1:4">
      <c r="A10" s="6" t="s">
        <v>31</v>
      </c>
      <c r="B10" s="6">
        <v>33</v>
      </c>
      <c r="C10" s="14">
        <v>4.9000000000000004</v>
      </c>
      <c r="D10" s="7">
        <v>115.5</v>
      </c>
    </row>
    <row r="11" spans="1:4">
      <c r="A11" s="4" t="s">
        <v>32</v>
      </c>
      <c r="B11" s="4">
        <v>32</v>
      </c>
      <c r="C11" s="13">
        <v>4.8</v>
      </c>
      <c r="D11" s="5">
        <v>111.3</v>
      </c>
    </row>
    <row r="12" spans="1:4">
      <c r="A12" s="6" t="s">
        <v>33</v>
      </c>
      <c r="B12" s="6">
        <v>23</v>
      </c>
      <c r="C12" s="14">
        <v>3.4</v>
      </c>
      <c r="D12" s="7">
        <v>123.2</v>
      </c>
    </row>
    <row r="13" spans="1:4">
      <c r="A13" s="4" t="s">
        <v>34</v>
      </c>
      <c r="B13" s="4">
        <v>21</v>
      </c>
      <c r="C13" s="13">
        <v>3.1</v>
      </c>
      <c r="D13" s="5">
        <v>119.8</v>
      </c>
    </row>
    <row r="14" spans="1:4">
      <c r="A14" s="6" t="s">
        <v>35</v>
      </c>
      <c r="B14" s="6">
        <v>17</v>
      </c>
      <c r="C14" s="14">
        <v>2.5</v>
      </c>
      <c r="D14" s="7">
        <v>134.5</v>
      </c>
    </row>
    <row r="15" spans="1:4">
      <c r="A15" s="4" t="s">
        <v>36</v>
      </c>
      <c r="B15" s="4">
        <v>10</v>
      </c>
      <c r="C15" s="13">
        <v>1.5</v>
      </c>
      <c r="D15" s="5">
        <v>101.3</v>
      </c>
    </row>
    <row r="16" spans="1:4">
      <c r="A16" s="6" t="s">
        <v>37</v>
      </c>
      <c r="B16" s="6">
        <v>7</v>
      </c>
      <c r="C16" s="14">
        <v>1</v>
      </c>
      <c r="D16" s="7">
        <v>112.4</v>
      </c>
    </row>
    <row r="17" spans="1:4">
      <c r="A17" s="4" t="s">
        <v>38</v>
      </c>
      <c r="B17" s="4">
        <v>7</v>
      </c>
      <c r="C17" s="13">
        <v>1</v>
      </c>
      <c r="D17" s="5">
        <v>150.1</v>
      </c>
    </row>
    <row r="18" spans="1:4">
      <c r="A18" s="6" t="s">
        <v>39</v>
      </c>
      <c r="B18" s="6">
        <v>6</v>
      </c>
      <c r="C18" s="14">
        <v>0.9</v>
      </c>
      <c r="D18" s="7">
        <v>117.8</v>
      </c>
    </row>
    <row r="19" spans="1:4">
      <c r="A19" s="4" t="s">
        <v>40</v>
      </c>
      <c r="B19" s="4">
        <v>5</v>
      </c>
      <c r="C19" s="13">
        <v>0.7</v>
      </c>
      <c r="D19" s="5">
        <v>155.30000000000001</v>
      </c>
    </row>
    <row r="20" spans="1:4">
      <c r="A20" s="6" t="s">
        <v>41</v>
      </c>
      <c r="B20" s="6">
        <v>3</v>
      </c>
      <c r="C20" s="14">
        <v>0.4</v>
      </c>
      <c r="D20" s="7">
        <v>117.8</v>
      </c>
    </row>
    <row r="21" spans="1:4">
      <c r="A21" s="4" t="s">
        <v>42</v>
      </c>
      <c r="B21" s="4">
        <v>3</v>
      </c>
      <c r="C21" s="13">
        <v>0.4</v>
      </c>
      <c r="D21" s="5">
        <v>116.8</v>
      </c>
    </row>
    <row r="22" spans="1:4">
      <c r="A22" s="6" t="s">
        <v>43</v>
      </c>
      <c r="B22" s="6">
        <v>3</v>
      </c>
      <c r="C22" s="14">
        <v>0.4</v>
      </c>
      <c r="D22" s="7">
        <v>124.7</v>
      </c>
    </row>
    <row r="23" spans="1:4">
      <c r="A23" s="4" t="s">
        <v>44</v>
      </c>
      <c r="B23" s="4">
        <v>3</v>
      </c>
      <c r="C23" s="13">
        <v>0.4</v>
      </c>
      <c r="D23" s="5">
        <v>103.8</v>
      </c>
    </row>
    <row r="24" spans="1:4">
      <c r="A24" s="6" t="s">
        <v>45</v>
      </c>
      <c r="B24" s="6">
        <v>3</v>
      </c>
      <c r="C24" s="14">
        <v>0.4</v>
      </c>
      <c r="D24" s="7">
        <v>128.69999999999999</v>
      </c>
    </row>
    <row r="25" spans="1:4">
      <c r="A25" s="4" t="s">
        <v>46</v>
      </c>
      <c r="B25" s="4">
        <v>2</v>
      </c>
      <c r="C25" s="13">
        <v>0.3</v>
      </c>
      <c r="D25" s="5">
        <v>74.8</v>
      </c>
    </row>
    <row r="26" spans="1:4">
      <c r="A26" s="6" t="s">
        <v>47</v>
      </c>
      <c r="B26" s="6">
        <v>2</v>
      </c>
      <c r="C26" s="14">
        <v>0.3</v>
      </c>
      <c r="D26" s="7">
        <v>203.8</v>
      </c>
    </row>
    <row r="27" spans="1:4">
      <c r="A27" s="4" t="s">
        <v>48</v>
      </c>
      <c r="B27" s="4">
        <v>1</v>
      </c>
      <c r="C27" s="13">
        <v>0.1</v>
      </c>
      <c r="D27" s="5">
        <v>43.5</v>
      </c>
    </row>
    <row r="28" spans="1:4">
      <c r="A28" s="8" t="s">
        <v>49</v>
      </c>
      <c r="B28" s="10">
        <f>SUM(B5:B27)</f>
        <v>672</v>
      </c>
      <c r="C28" s="15" t="s">
        <v>50</v>
      </c>
    </row>
    <row r="30" spans="1:4">
      <c r="A30" s="11" t="s">
        <v>17</v>
      </c>
    </row>
    <row r="31" spans="1:4">
      <c r="A31" s="12" t="s">
        <v>51</v>
      </c>
    </row>
    <row r="32" spans="1:4">
      <c r="A32" s="12" t="s">
        <v>52</v>
      </c>
    </row>
    <row r="33" spans="1:1">
      <c r="A33" s="12" t="s">
        <v>53</v>
      </c>
    </row>
    <row r="34" spans="1:1">
      <c r="A34" s="21" t="s">
        <v>54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zoomScaleNormal="100" workbookViewId="0">
      <selection activeCell="A2" sqref="A2"/>
    </sheetView>
  </sheetViews>
  <sheetFormatPr defaultColWidth="8.7109375" defaultRowHeight="15"/>
  <cols>
    <col min="1" max="1" width="10" customWidth="1"/>
    <col min="2" max="5" width="16" customWidth="1"/>
  </cols>
  <sheetData>
    <row r="1" spans="1:5" ht="25.5" customHeight="1">
      <c r="A1" s="1" t="s">
        <v>55</v>
      </c>
    </row>
    <row r="2" spans="1:5" ht="18" customHeight="1">
      <c r="A2" s="21" t="s">
        <v>56</v>
      </c>
    </row>
    <row r="4" spans="1:5">
      <c r="A4" s="3" t="s">
        <v>57</v>
      </c>
      <c r="B4" s="3" t="s">
        <v>6</v>
      </c>
      <c r="C4" s="3" t="s">
        <v>3</v>
      </c>
      <c r="D4" s="3" t="s">
        <v>4</v>
      </c>
      <c r="E4" s="3" t="s">
        <v>5</v>
      </c>
    </row>
    <row r="5" spans="1:5">
      <c r="A5" s="4" t="s">
        <v>58</v>
      </c>
      <c r="B5" s="4">
        <v>165</v>
      </c>
      <c r="C5" s="5">
        <v>120.6</v>
      </c>
      <c r="D5" s="5">
        <v>43.5</v>
      </c>
      <c r="E5" s="5">
        <v>271.5</v>
      </c>
    </row>
    <row r="6" spans="1:5">
      <c r="A6" s="6" t="s">
        <v>59</v>
      </c>
      <c r="B6" s="6">
        <v>89</v>
      </c>
      <c r="C6" s="7">
        <v>126.8</v>
      </c>
      <c r="D6" s="7">
        <v>43.5</v>
      </c>
      <c r="E6" s="7">
        <v>271.5</v>
      </c>
    </row>
    <row r="7" spans="1:5">
      <c r="A7" s="4" t="s">
        <v>60</v>
      </c>
      <c r="B7" s="4">
        <v>62</v>
      </c>
      <c r="C7" s="5">
        <v>122</v>
      </c>
      <c r="D7" s="5">
        <v>43.5</v>
      </c>
      <c r="E7" s="5">
        <v>271.5</v>
      </c>
    </row>
    <row r="8" spans="1:5">
      <c r="A8" s="6" t="s">
        <v>61</v>
      </c>
      <c r="B8" s="6">
        <v>52</v>
      </c>
      <c r="C8" s="7">
        <v>136.4</v>
      </c>
      <c r="D8" s="7">
        <v>43.5</v>
      </c>
      <c r="E8" s="7">
        <v>271.5</v>
      </c>
    </row>
    <row r="9" spans="1:5">
      <c r="A9" s="4" t="s">
        <v>62</v>
      </c>
      <c r="B9" s="4">
        <v>40</v>
      </c>
      <c r="C9" s="5">
        <v>112.4</v>
      </c>
      <c r="D9" s="5">
        <v>43.5</v>
      </c>
      <c r="E9" s="5">
        <v>271.5</v>
      </c>
    </row>
    <row r="10" spans="1:5">
      <c r="A10" s="6" t="s">
        <v>63</v>
      </c>
      <c r="B10" s="6">
        <v>30</v>
      </c>
      <c r="C10" s="7">
        <v>120.9</v>
      </c>
      <c r="D10" s="7">
        <v>43.5</v>
      </c>
      <c r="E10" s="7">
        <v>185</v>
      </c>
    </row>
    <row r="11" spans="1:5">
      <c r="A11" s="4" t="s">
        <v>64</v>
      </c>
      <c r="B11" s="4">
        <v>26</v>
      </c>
      <c r="C11" s="5">
        <v>139.5</v>
      </c>
      <c r="D11" s="5">
        <v>43.5</v>
      </c>
      <c r="E11" s="5">
        <v>271.5</v>
      </c>
    </row>
    <row r="12" spans="1:5">
      <c r="A12" s="6" t="s">
        <v>65</v>
      </c>
      <c r="B12" s="6">
        <v>17</v>
      </c>
      <c r="C12" s="7">
        <v>136.1</v>
      </c>
      <c r="D12" s="7">
        <v>76.5</v>
      </c>
      <c r="E12" s="7">
        <v>271.5</v>
      </c>
    </row>
    <row r="13" spans="1:5">
      <c r="A13" s="4" t="s">
        <v>66</v>
      </c>
      <c r="B13" s="4">
        <v>16</v>
      </c>
      <c r="C13" s="5">
        <v>134.80000000000001</v>
      </c>
      <c r="D13" s="5">
        <v>76.5</v>
      </c>
      <c r="E13" s="5">
        <v>271.5</v>
      </c>
    </row>
    <row r="14" spans="1:5">
      <c r="A14" s="6" t="s">
        <v>67</v>
      </c>
      <c r="B14" s="6">
        <v>14</v>
      </c>
      <c r="C14" s="7">
        <v>121.7</v>
      </c>
      <c r="D14" s="7">
        <v>43.5</v>
      </c>
      <c r="E14" s="7">
        <v>271.5</v>
      </c>
    </row>
    <row r="17" spans="1:1">
      <c r="A17" s="11" t="s">
        <v>17</v>
      </c>
    </row>
    <row r="18" spans="1:1">
      <c r="A18" s="12" t="s">
        <v>68</v>
      </c>
    </row>
    <row r="19" spans="1:1">
      <c r="A19" s="12" t="s">
        <v>69</v>
      </c>
    </row>
    <row r="20" spans="1:1">
      <c r="A20" s="12" t="s">
        <v>70</v>
      </c>
    </row>
    <row r="21" spans="1:1">
      <c r="A21" s="21" t="s">
        <v>71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zoomScaleNormal="100" workbookViewId="0">
      <selection activeCell="A2" sqref="A2"/>
    </sheetView>
  </sheetViews>
  <sheetFormatPr defaultColWidth="8.7109375" defaultRowHeight="15"/>
  <cols>
    <col min="1" max="1" width="28" customWidth="1"/>
    <col min="2" max="4" width="16" customWidth="1"/>
  </cols>
  <sheetData>
    <row r="1" spans="1:4" ht="25.5" customHeight="1">
      <c r="A1" s="1" t="s">
        <v>72</v>
      </c>
    </row>
    <row r="2" spans="1:4" ht="18" customHeight="1">
      <c r="A2" s="21" t="s">
        <v>73</v>
      </c>
    </row>
    <row r="4" spans="1:4">
      <c r="A4" s="3" t="s">
        <v>74</v>
      </c>
      <c r="B4" s="3" t="s">
        <v>75</v>
      </c>
      <c r="C4" s="3" t="s">
        <v>6</v>
      </c>
      <c r="D4" s="3" t="s">
        <v>3</v>
      </c>
    </row>
    <row r="5" spans="1:4">
      <c r="A5" s="4" t="s">
        <v>76</v>
      </c>
      <c r="B5" s="16">
        <v>4.37</v>
      </c>
      <c r="C5" s="4">
        <v>86</v>
      </c>
      <c r="D5" s="5">
        <v>120</v>
      </c>
    </row>
    <row r="6" spans="1:4">
      <c r="A6" s="6" t="s">
        <v>77</v>
      </c>
      <c r="B6" s="17">
        <v>4</v>
      </c>
      <c r="C6" s="6">
        <v>135</v>
      </c>
      <c r="D6" s="7">
        <v>127.4</v>
      </c>
    </row>
    <row r="7" spans="1:4">
      <c r="A7" s="4" t="s">
        <v>78</v>
      </c>
      <c r="B7" s="16">
        <v>3.99</v>
      </c>
      <c r="C7" s="4">
        <v>85</v>
      </c>
      <c r="D7" s="5">
        <v>119</v>
      </c>
    </row>
    <row r="8" spans="1:4">
      <c r="A8" s="6" t="s">
        <v>79</v>
      </c>
      <c r="B8" s="17">
        <v>3.73</v>
      </c>
      <c r="C8" s="6">
        <v>77</v>
      </c>
      <c r="D8" s="7">
        <v>120.9</v>
      </c>
    </row>
    <row r="9" spans="1:4">
      <c r="A9" s="4" t="s">
        <v>80</v>
      </c>
      <c r="B9" s="16">
        <v>3.62</v>
      </c>
      <c r="C9" s="4">
        <v>104</v>
      </c>
      <c r="D9" s="5">
        <v>121.8</v>
      </c>
    </row>
    <row r="10" spans="1:4">
      <c r="A10" s="6" t="s">
        <v>81</v>
      </c>
      <c r="B10" s="17">
        <v>3.73</v>
      </c>
      <c r="C10" s="6">
        <v>61</v>
      </c>
      <c r="D10" s="7">
        <v>126.7</v>
      </c>
    </row>
    <row r="11" spans="1:4">
      <c r="A11" s="4" t="s">
        <v>82</v>
      </c>
      <c r="B11" s="16">
        <v>3.7</v>
      </c>
      <c r="C11" s="4">
        <v>80</v>
      </c>
      <c r="D11" s="5">
        <v>122.5</v>
      </c>
    </row>
    <row r="12" spans="1:4">
      <c r="A12" s="6" t="s">
        <v>28</v>
      </c>
      <c r="B12" s="17">
        <v>4.12</v>
      </c>
      <c r="C12" s="6">
        <v>44</v>
      </c>
      <c r="D12" s="7">
        <v>135.69999999999999</v>
      </c>
    </row>
    <row r="15" spans="1:4">
      <c r="A15" s="11" t="s">
        <v>17</v>
      </c>
    </row>
    <row r="16" spans="1:4">
      <c r="A16" s="12" t="s">
        <v>83</v>
      </c>
    </row>
    <row r="17" spans="1:1">
      <c r="A17" s="12" t="s">
        <v>84</v>
      </c>
    </row>
    <row r="18" spans="1:1">
      <c r="A18" s="12" t="s">
        <v>85</v>
      </c>
    </row>
    <row r="19" spans="1:1">
      <c r="A19" s="21" t="s">
        <v>86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zoomScaleNormal="100" workbookViewId="0">
      <selection activeCell="A2" sqref="A2"/>
    </sheetView>
  </sheetViews>
  <sheetFormatPr defaultColWidth="8.7109375" defaultRowHeight="15"/>
  <cols>
    <col min="1" max="2" width="16" customWidth="1"/>
    <col min="3" max="3" width="14" customWidth="1"/>
  </cols>
  <sheetData>
    <row r="1" spans="1:3" ht="25.5" customHeight="1">
      <c r="A1" s="1" t="s">
        <v>87</v>
      </c>
    </row>
    <row r="2" spans="1:3" ht="18" customHeight="1">
      <c r="A2" s="21" t="s">
        <v>88</v>
      </c>
    </row>
    <row r="4" spans="1:3">
      <c r="A4" s="3" t="s">
        <v>89</v>
      </c>
      <c r="B4" s="3" t="s">
        <v>90</v>
      </c>
      <c r="C4" s="3" t="s">
        <v>25</v>
      </c>
    </row>
    <row r="5" spans="1:3">
      <c r="A5" s="6" t="s">
        <v>91</v>
      </c>
      <c r="B5" s="6">
        <v>20</v>
      </c>
      <c r="C5" s="14">
        <v>3</v>
      </c>
    </row>
    <row r="6" spans="1:3">
      <c r="A6" s="4" t="s">
        <v>92</v>
      </c>
      <c r="B6" s="4">
        <v>134</v>
      </c>
      <c r="C6" s="13">
        <v>19.899999999999999</v>
      </c>
    </row>
    <row r="7" spans="1:3">
      <c r="A7" s="6" t="s">
        <v>93</v>
      </c>
      <c r="B7" s="6">
        <v>281</v>
      </c>
      <c r="C7" s="14">
        <v>41.8</v>
      </c>
    </row>
    <row r="8" spans="1:3">
      <c r="A8" s="4" t="s">
        <v>94</v>
      </c>
      <c r="B8" s="4">
        <v>104</v>
      </c>
      <c r="C8" s="13">
        <v>15.5</v>
      </c>
    </row>
    <row r="9" spans="1:3">
      <c r="A9" s="6" t="s">
        <v>95</v>
      </c>
      <c r="B9" s="6">
        <v>72</v>
      </c>
      <c r="C9" s="14">
        <v>10.7</v>
      </c>
    </row>
    <row r="10" spans="1:3">
      <c r="A10" s="4" t="s">
        <v>96</v>
      </c>
      <c r="B10" s="4">
        <v>40</v>
      </c>
      <c r="C10" s="13">
        <v>6</v>
      </c>
    </row>
    <row r="11" spans="1:3">
      <c r="A11" s="6" t="s">
        <v>97</v>
      </c>
      <c r="B11" s="6">
        <v>21</v>
      </c>
      <c r="C11" s="14">
        <v>3.1</v>
      </c>
    </row>
    <row r="13" spans="1:3">
      <c r="A13" s="11" t="s">
        <v>17</v>
      </c>
    </row>
    <row r="14" spans="1:3">
      <c r="A14" s="12" t="s">
        <v>98</v>
      </c>
    </row>
    <row r="15" spans="1:3">
      <c r="A15" s="12" t="s">
        <v>99</v>
      </c>
    </row>
    <row r="16" spans="1:3">
      <c r="A16" s="12" t="s">
        <v>100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2"/>
  <sheetViews>
    <sheetView tabSelected="1" zoomScaleNormal="100" workbookViewId="0">
      <selection activeCell="A21" sqref="A21"/>
    </sheetView>
  </sheetViews>
  <sheetFormatPr defaultColWidth="8.7109375" defaultRowHeight="15"/>
  <cols>
    <col min="1" max="1" width="20" customWidth="1"/>
    <col min="2" max="2" width="80" customWidth="1"/>
  </cols>
  <sheetData>
    <row r="1" spans="1:1" ht="25.5" customHeight="1">
      <c r="A1" s="1" t="s">
        <v>101</v>
      </c>
    </row>
    <row r="2" spans="1:1" ht="18" customHeight="1">
      <c r="A2" s="2"/>
    </row>
    <row r="3" spans="1:1">
      <c r="A3" s="18" t="s">
        <v>102</v>
      </c>
    </row>
    <row r="9" spans="1:1">
      <c r="A9" s="22" t="s">
        <v>103</v>
      </c>
    </row>
    <row r="10" spans="1:1" ht="39.75" customHeight="1">
      <c r="A10" s="19" t="s">
        <v>104</v>
      </c>
    </row>
    <row r="12" spans="1:1">
      <c r="A12" s="22" t="s">
        <v>105</v>
      </c>
    </row>
    <row r="13" spans="1:1" ht="39.75" customHeight="1">
      <c r="A13" s="19" t="s">
        <v>106</v>
      </c>
    </row>
    <row r="15" spans="1:1">
      <c r="A15" s="22" t="s">
        <v>107</v>
      </c>
    </row>
    <row r="16" spans="1:1" ht="39.75" customHeight="1">
      <c r="A16" s="19" t="s">
        <v>108</v>
      </c>
    </row>
    <row r="18" spans="1:1">
      <c r="A18" s="22" t="s">
        <v>109</v>
      </c>
    </row>
    <row r="19" spans="1:1" ht="39.75" customHeight="1">
      <c r="A19" s="19" t="s">
        <v>110</v>
      </c>
    </row>
    <row r="21" spans="1:1">
      <c r="A21" s="22" t="s">
        <v>111</v>
      </c>
    </row>
    <row r="22" spans="1:1" ht="39.75" customHeight="1">
      <c r="A22" s="19" t="s">
        <v>112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2026-03-19T18:33:10Z</dcterms:created>
  <dcterms:modified xsi:type="dcterms:W3CDTF">2026-03-23T21:09:18Z</dcterms:modified>
  <cp:category/>
  <cp:contentStatus/>
</cp:coreProperties>
</file>
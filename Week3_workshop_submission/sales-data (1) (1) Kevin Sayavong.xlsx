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0" documentId="8_{5F423F8B-2196-4F11-A5EC-B1F03F549B3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able" sheetId="1" r:id="rId1"/>
    <sheet name="Monthly Sales Char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1" l="1"/>
  <c r="M27" i="1"/>
  <c r="M26" i="1"/>
  <c r="H15" i="1"/>
  <c r="I24" i="1"/>
  <c r="J24" i="1"/>
  <c r="H24" i="1"/>
  <c r="K20" i="1"/>
  <c r="K21" i="1"/>
  <c r="K22" i="1"/>
  <c r="K23" i="1"/>
  <c r="K24" i="1"/>
  <c r="K19" i="1"/>
  <c r="I23" i="1"/>
  <c r="J23" i="1"/>
  <c r="H23" i="1"/>
  <c r="J22" i="1"/>
  <c r="I22" i="1"/>
  <c r="J20" i="1"/>
  <c r="J21" i="1"/>
  <c r="I21" i="1"/>
  <c r="I20" i="1"/>
  <c r="J19" i="1"/>
  <c r="I19" i="1"/>
  <c r="H22" i="1"/>
  <c r="H21" i="1"/>
  <c r="H20" i="1"/>
  <c r="H19" i="1"/>
  <c r="D11" i="1"/>
  <c r="E11" i="1"/>
  <c r="C11" i="1"/>
  <c r="F3" i="1"/>
  <c r="F4" i="1"/>
  <c r="F5" i="1"/>
  <c r="F6" i="1"/>
  <c r="F7" i="1"/>
  <c r="F8" i="1"/>
  <c r="F9" i="1"/>
  <c r="F10" i="1"/>
  <c r="F2" i="1"/>
  <c r="F11" i="1" l="1"/>
  <c r="H13" i="1"/>
  <c r="H16" i="1"/>
  <c r="H14" i="1"/>
</calcChain>
</file>

<file path=xl/sharedStrings.xml><?xml version="1.0" encoding="utf-8"?>
<sst xmlns="http://schemas.openxmlformats.org/spreadsheetml/2006/main" count="44" uniqueCount="30">
  <si>
    <t>Product</t>
  </si>
  <si>
    <t>Category</t>
  </si>
  <si>
    <t>Jan Sales</t>
  </si>
  <si>
    <t>Feb Sales</t>
  </si>
  <si>
    <t>Mar Sales</t>
  </si>
  <si>
    <t>Total</t>
  </si>
  <si>
    <t>Laptop</t>
  </si>
  <si>
    <t>Electronics</t>
  </si>
  <si>
    <t>Smartphone</t>
  </si>
  <si>
    <t>Headphones</t>
  </si>
  <si>
    <t>Desk Chair</t>
  </si>
  <si>
    <t>Furniture</t>
  </si>
  <si>
    <t>Coffee Maker</t>
  </si>
  <si>
    <t>Appliances</t>
  </si>
  <si>
    <t>Blender</t>
  </si>
  <si>
    <t>T-Shirt</t>
  </si>
  <si>
    <t>Clothing</t>
  </si>
  <si>
    <t>Jeans</t>
  </si>
  <si>
    <t>Sneakers</t>
  </si>
  <si>
    <t>Footware</t>
  </si>
  <si>
    <t>Total Sales</t>
  </si>
  <si>
    <t>Average Monthly Sales</t>
  </si>
  <si>
    <t>Best Month</t>
  </si>
  <si>
    <t>Worst Month</t>
  </si>
  <si>
    <t>Category Breakdown</t>
  </si>
  <si>
    <t xml:space="preserve">Total </t>
  </si>
  <si>
    <t>Best Category each month</t>
  </si>
  <si>
    <t>January</t>
  </si>
  <si>
    <t>Febraury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</si>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</sst>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164" fontId="0" fillId="0" borderId="0" xfId="0" applyNumberFormat="1"/>
    <xf numFmtId="0" fontId="0" fillId="2" borderId="0" xfId="0" applyFill="1" applyAlignment="1">
      <alignment wrapText="1"/>
    </xf>
  </cellXfs>
  <cellStyles count="1">
    <cellStyle name="Normal" xfId="0" builtinId="0"/>
  </cellStyles>
  <dxfs count="16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Sales of Items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Table!$C$1</c:f>
              <c:strCache>
                <c:ptCount val="1"/>
                <c:pt idx="0">
                  <c:v>Jan Sales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Table!$A$2:$B$10</c:f>
              <c:multiLvlStrCache>
                <c:ptCount val="9"/>
                <c:lvl>
                  <c:pt idx="0">
                    <c:v>Electronics</c:v>
                  </c:pt>
                  <c:pt idx="1">
                    <c:v>Electronics</c:v>
                  </c:pt>
                  <c:pt idx="2">
                    <c:v>Electronics</c:v>
                  </c:pt>
                  <c:pt idx="3">
                    <c:v>Furniture</c:v>
                  </c:pt>
                  <c:pt idx="4">
                    <c:v>Appliances</c:v>
                  </c:pt>
                  <c:pt idx="5">
                    <c:v>Appliances</c:v>
                  </c:pt>
                  <c:pt idx="6">
                    <c:v>Clothing</c:v>
                  </c:pt>
                  <c:pt idx="7">
                    <c:v>Clothing</c:v>
                  </c:pt>
                  <c:pt idx="8">
                    <c:v>Footware</c:v>
                  </c:pt>
                </c:lvl>
                <c:lvl>
                  <c:pt idx="0">
                    <c:v>Laptop</c:v>
                  </c:pt>
                  <c:pt idx="1">
                    <c:v>Smartphone</c:v>
                  </c:pt>
                  <c:pt idx="2">
                    <c:v>Headphones</c:v>
                  </c:pt>
                  <c:pt idx="3">
                    <c:v>Desk Chair</c:v>
                  </c:pt>
                  <c:pt idx="4">
                    <c:v>Coffee Maker</c:v>
                  </c:pt>
                  <c:pt idx="5">
                    <c:v>Blender</c:v>
                  </c:pt>
                  <c:pt idx="6">
                    <c:v>T-Shirt</c:v>
                  </c:pt>
                  <c:pt idx="7">
                    <c:v>Jeans</c:v>
                  </c:pt>
                  <c:pt idx="8">
                    <c:v>Sneakers</c:v>
                  </c:pt>
                </c:lvl>
              </c:multiLvlStrCache>
            </c:multiLvlStrRef>
          </c:cat>
          <c:val>
            <c:numRef>
              <c:f>Table!$C$2:$C$10</c:f>
              <c:numCache>
                <c:formatCode>"$"#,##0.00</c:formatCode>
                <c:ptCount val="9"/>
                <c:pt idx="0">
                  <c:v>1200</c:v>
                </c:pt>
                <c:pt idx="1">
                  <c:v>800</c:v>
                </c:pt>
                <c:pt idx="2">
                  <c:v>150</c:v>
                </c:pt>
                <c:pt idx="3">
                  <c:v>350</c:v>
                </c:pt>
                <c:pt idx="4">
                  <c:v>120</c:v>
                </c:pt>
                <c:pt idx="5">
                  <c:v>80</c:v>
                </c:pt>
                <c:pt idx="6">
                  <c:v>200</c:v>
                </c:pt>
                <c:pt idx="7">
                  <c:v>300</c:v>
                </c:pt>
                <c:pt idx="8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7B5-4384-8FBC-79964A8CB81E}"/>
            </c:ext>
          </c:extLst>
        </c:ser>
        <c:ser>
          <c:idx val="1"/>
          <c:order val="1"/>
          <c:tx>
            <c:strRef>
              <c:f>Table!$D$1</c:f>
              <c:strCache>
                <c:ptCount val="1"/>
                <c:pt idx="0">
                  <c:v>Feb Sales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multiLvlStrRef>
              <c:f>Table!$A$2:$B$10</c:f>
              <c:multiLvlStrCache>
                <c:ptCount val="9"/>
                <c:lvl>
                  <c:pt idx="0">
                    <c:v>Electronics</c:v>
                  </c:pt>
                  <c:pt idx="1">
                    <c:v>Electronics</c:v>
                  </c:pt>
                  <c:pt idx="2">
                    <c:v>Electronics</c:v>
                  </c:pt>
                  <c:pt idx="3">
                    <c:v>Furniture</c:v>
                  </c:pt>
                  <c:pt idx="4">
                    <c:v>Appliances</c:v>
                  </c:pt>
                  <c:pt idx="5">
                    <c:v>Appliances</c:v>
                  </c:pt>
                  <c:pt idx="6">
                    <c:v>Clothing</c:v>
                  </c:pt>
                  <c:pt idx="7">
                    <c:v>Clothing</c:v>
                  </c:pt>
                  <c:pt idx="8">
                    <c:v>Footware</c:v>
                  </c:pt>
                </c:lvl>
                <c:lvl>
                  <c:pt idx="0">
                    <c:v>Laptop</c:v>
                  </c:pt>
                  <c:pt idx="1">
                    <c:v>Smartphone</c:v>
                  </c:pt>
                  <c:pt idx="2">
                    <c:v>Headphones</c:v>
                  </c:pt>
                  <c:pt idx="3">
                    <c:v>Desk Chair</c:v>
                  </c:pt>
                  <c:pt idx="4">
                    <c:v>Coffee Maker</c:v>
                  </c:pt>
                  <c:pt idx="5">
                    <c:v>Blender</c:v>
                  </c:pt>
                  <c:pt idx="6">
                    <c:v>T-Shirt</c:v>
                  </c:pt>
                  <c:pt idx="7">
                    <c:v>Jeans</c:v>
                  </c:pt>
                  <c:pt idx="8">
                    <c:v>Sneakers</c:v>
                  </c:pt>
                </c:lvl>
              </c:multiLvlStrCache>
            </c:multiLvlStrRef>
          </c:cat>
          <c:val>
            <c:numRef>
              <c:f>Table!$D$2:$D$10</c:f>
              <c:numCache>
                <c:formatCode>"$"#,##0.00</c:formatCode>
                <c:ptCount val="9"/>
                <c:pt idx="0">
                  <c:v>1400</c:v>
                </c:pt>
                <c:pt idx="1">
                  <c:v>950</c:v>
                </c:pt>
                <c:pt idx="2">
                  <c:v>200</c:v>
                </c:pt>
                <c:pt idx="3">
                  <c:v>300</c:v>
                </c:pt>
                <c:pt idx="4">
                  <c:v>140</c:v>
                </c:pt>
                <c:pt idx="5">
                  <c:v>100</c:v>
                </c:pt>
                <c:pt idx="6">
                  <c:v>250</c:v>
                </c:pt>
                <c:pt idx="7">
                  <c:v>350</c:v>
                </c:pt>
                <c:pt idx="8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7B5-4384-8FBC-79964A8CB81E}"/>
            </c:ext>
          </c:extLst>
        </c:ser>
        <c:ser>
          <c:idx val="2"/>
          <c:order val="2"/>
          <c:tx>
            <c:strRef>
              <c:f>Table!$E$1</c:f>
              <c:strCache>
                <c:ptCount val="1"/>
                <c:pt idx="0">
                  <c:v>Mar Sales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multiLvlStrRef>
              <c:f>Table!$A$2:$B$10</c:f>
              <c:multiLvlStrCache>
                <c:ptCount val="9"/>
                <c:lvl>
                  <c:pt idx="0">
                    <c:v>Electronics</c:v>
                  </c:pt>
                  <c:pt idx="1">
                    <c:v>Electronics</c:v>
                  </c:pt>
                  <c:pt idx="2">
                    <c:v>Electronics</c:v>
                  </c:pt>
                  <c:pt idx="3">
                    <c:v>Furniture</c:v>
                  </c:pt>
                  <c:pt idx="4">
                    <c:v>Appliances</c:v>
                  </c:pt>
                  <c:pt idx="5">
                    <c:v>Appliances</c:v>
                  </c:pt>
                  <c:pt idx="6">
                    <c:v>Clothing</c:v>
                  </c:pt>
                  <c:pt idx="7">
                    <c:v>Clothing</c:v>
                  </c:pt>
                  <c:pt idx="8">
                    <c:v>Footware</c:v>
                  </c:pt>
                </c:lvl>
                <c:lvl>
                  <c:pt idx="0">
                    <c:v>Laptop</c:v>
                  </c:pt>
                  <c:pt idx="1">
                    <c:v>Smartphone</c:v>
                  </c:pt>
                  <c:pt idx="2">
                    <c:v>Headphones</c:v>
                  </c:pt>
                  <c:pt idx="3">
                    <c:v>Desk Chair</c:v>
                  </c:pt>
                  <c:pt idx="4">
                    <c:v>Coffee Maker</c:v>
                  </c:pt>
                  <c:pt idx="5">
                    <c:v>Blender</c:v>
                  </c:pt>
                  <c:pt idx="6">
                    <c:v>T-Shirt</c:v>
                  </c:pt>
                  <c:pt idx="7">
                    <c:v>Jeans</c:v>
                  </c:pt>
                  <c:pt idx="8">
                    <c:v>Sneakers</c:v>
                  </c:pt>
                </c:lvl>
              </c:multiLvlStrCache>
            </c:multiLvlStrRef>
          </c:cat>
          <c:val>
            <c:numRef>
              <c:f>Table!$E$2:$E$10</c:f>
              <c:numCache>
                <c:formatCode>"$"#,##0.00</c:formatCode>
                <c:ptCount val="9"/>
                <c:pt idx="0">
                  <c:v>1350</c:v>
                </c:pt>
                <c:pt idx="1">
                  <c:v>1100</c:v>
                </c:pt>
                <c:pt idx="2">
                  <c:v>250</c:v>
                </c:pt>
                <c:pt idx="3">
                  <c:v>400</c:v>
                </c:pt>
                <c:pt idx="4">
                  <c:v>160</c:v>
                </c:pt>
                <c:pt idx="5">
                  <c:v>110</c:v>
                </c:pt>
                <c:pt idx="6">
                  <c:v>300</c:v>
                </c:pt>
                <c:pt idx="7">
                  <c:v>400</c:v>
                </c:pt>
                <c:pt idx="8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7B5-4384-8FBC-79964A8CB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57363976"/>
        <c:axId val="1457366024"/>
      </c:barChart>
      <c:catAx>
        <c:axId val="1457363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366024"/>
        <c:auto val="1"/>
        <c:lblAlgn val="ctr"/>
        <c:lblOffset val="100"/>
        <c:noMultiLvlLbl val="0"/>
      </c:catAx>
      <c:valAx>
        <c:axId val="145736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363976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Table!$H$18</c:f>
              <c:strCache>
                <c:ptCount val="1"/>
                <c:pt idx="0">
                  <c:v>Jan Sales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Table!$G$19:$G$23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Appliances</c:v>
                </c:pt>
                <c:pt idx="3">
                  <c:v>Clothing</c:v>
                </c:pt>
                <c:pt idx="4">
                  <c:v>Footware</c:v>
                </c:pt>
              </c:strCache>
            </c:strRef>
          </c:cat>
          <c:val>
            <c:numRef>
              <c:f>Table!$H$19:$H$23</c:f>
              <c:numCache>
                <c:formatCode>"$"#,##0.00</c:formatCode>
                <c:ptCount val="5"/>
                <c:pt idx="0">
                  <c:v>2150</c:v>
                </c:pt>
                <c:pt idx="1">
                  <c:v>350</c:v>
                </c:pt>
                <c:pt idx="2">
                  <c:v>200</c:v>
                </c:pt>
                <c:pt idx="3">
                  <c:v>500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B-49CE-AB33-D1DFD1E12273}"/>
            </c:ext>
          </c:extLst>
        </c:ser>
        <c:ser>
          <c:idx val="1"/>
          <c:order val="1"/>
          <c:tx>
            <c:strRef>
              <c:f>Table!$I$18</c:f>
              <c:strCache>
                <c:ptCount val="1"/>
                <c:pt idx="0">
                  <c:v>Feb Sales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Table!$G$19:$G$23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Appliances</c:v>
                </c:pt>
                <c:pt idx="3">
                  <c:v>Clothing</c:v>
                </c:pt>
                <c:pt idx="4">
                  <c:v>Footware</c:v>
                </c:pt>
              </c:strCache>
            </c:strRef>
          </c:cat>
          <c:val>
            <c:numRef>
              <c:f>Table!$I$19:$I$23</c:f>
              <c:numCache>
                <c:formatCode>"$"#,##0.00</c:formatCode>
                <c:ptCount val="5"/>
                <c:pt idx="0">
                  <c:v>2550</c:v>
                </c:pt>
                <c:pt idx="1">
                  <c:v>300</c:v>
                </c:pt>
                <c:pt idx="2">
                  <c:v>240</c:v>
                </c:pt>
                <c:pt idx="3">
                  <c:v>600</c:v>
                </c:pt>
                <c:pt idx="4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BB-49CE-AB33-D1DFD1E12273}"/>
            </c:ext>
          </c:extLst>
        </c:ser>
        <c:ser>
          <c:idx val="2"/>
          <c:order val="2"/>
          <c:tx>
            <c:strRef>
              <c:f>Table!$J$18</c:f>
              <c:strCache>
                <c:ptCount val="1"/>
                <c:pt idx="0">
                  <c:v>Mar Sales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Table!$G$19:$G$23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Appliances</c:v>
                </c:pt>
                <c:pt idx="3">
                  <c:v>Clothing</c:v>
                </c:pt>
                <c:pt idx="4">
                  <c:v>Footware</c:v>
                </c:pt>
              </c:strCache>
            </c:strRef>
          </c:cat>
          <c:val>
            <c:numRef>
              <c:f>Table!$J$19:$J$23</c:f>
              <c:numCache>
                <c:formatCode>"$"#,##0.00</c:formatCode>
                <c:ptCount val="5"/>
                <c:pt idx="0">
                  <c:v>2700</c:v>
                </c:pt>
                <c:pt idx="1">
                  <c:v>400</c:v>
                </c:pt>
                <c:pt idx="2">
                  <c:v>270</c:v>
                </c:pt>
                <c:pt idx="3">
                  <c:v>700</c:v>
                </c:pt>
                <c:pt idx="4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BB-49CE-AB33-D1DFD1E12273}"/>
            </c:ext>
          </c:extLst>
        </c:ser>
        <c:ser>
          <c:idx val="3"/>
          <c:order val="3"/>
          <c:tx>
            <c:strRef>
              <c:f>Table!$K$18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Table!$G$19:$G$23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Appliances</c:v>
                </c:pt>
                <c:pt idx="3">
                  <c:v>Clothing</c:v>
                </c:pt>
                <c:pt idx="4">
                  <c:v>Footware</c:v>
                </c:pt>
              </c:strCache>
            </c:strRef>
          </c:cat>
          <c:val>
            <c:numRef>
              <c:f>Table!$K$19:$K$23</c:f>
              <c:numCache>
                <c:formatCode>"$"#,##0.00</c:formatCode>
                <c:ptCount val="5"/>
                <c:pt idx="0">
                  <c:v>7400</c:v>
                </c:pt>
                <c:pt idx="1">
                  <c:v>1050</c:v>
                </c:pt>
                <c:pt idx="2">
                  <c:v>710</c:v>
                </c:pt>
                <c:pt idx="3">
                  <c:v>1800</c:v>
                </c:pt>
                <c:pt idx="4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B-49CE-AB33-D1DFD1E12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0665224"/>
        <c:axId val="722918408"/>
      </c:barChart>
      <c:catAx>
        <c:axId val="670665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918408"/>
        <c:crosses val="autoZero"/>
        <c:auto val="1"/>
        <c:lblAlgn val="ctr"/>
        <c:lblOffset val="100"/>
        <c:noMultiLvlLbl val="0"/>
      </c:catAx>
      <c:valAx>
        <c:axId val="72291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665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{"January Sales"}</c:f>
              <c:strCache>
                <c:ptCount val="1"/>
                <c:pt idx="0">
                  <c:v>January Sales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Table!$A$11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Table!C11</c:f>
              <c:numCache>
                <c:formatCode>"$"#,##0.00</c:formatCode>
                <c:ptCount val="1"/>
                <c:pt idx="0">
                  <c:v>3450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22E-4BCA-8100-B90CC850BD1D}"/>
            </c:ext>
          </c:extLst>
        </c:ser>
        <c:ser>
          <c:idx val="1"/>
          <c:order val="1"/>
          <c:tx>
            <c:strRef>
              <c:f>{"February Sales"}</c:f>
              <c:strCache>
                <c:ptCount val="1"/>
                <c:pt idx="0">
                  <c:v>February Sales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Table!$A$11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Table!D11</c:f>
              <c:numCache>
                <c:formatCode>"$"#,##0.00</c:formatCode>
                <c:ptCount val="1"/>
                <c:pt idx="0">
                  <c:v>3970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22E-4BCA-8100-B90CC850BD1D}"/>
            </c:ext>
          </c:extLst>
        </c:ser>
        <c:ser>
          <c:idx val="2"/>
          <c:order val="2"/>
          <c:tx>
            <c:strRef>
              <c:f>{"March Sales"}</c:f>
              <c:strCache>
                <c:ptCount val="1"/>
                <c:pt idx="0">
                  <c:v>March Sales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Table!$A$11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Table!$D$11</c:f>
              <c:numCache>
                <c:formatCode>"$"#,##0.00</c:formatCode>
                <c:ptCount val="1"/>
                <c:pt idx="0">
                  <c:v>3970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22E-4BCA-8100-B90CC850BD1D}"/>
            </c:ext>
          </c:extLst>
        </c:ser>
        <c:ser>
          <c:idx val="3"/>
          <c:order val="3"/>
          <c:tx>
            <c:strRef>
              <c:f>{"Total"}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Table!$A$11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Table!F11</c:f>
              <c:numCache>
                <c:formatCode>"$"#,##0.00</c:formatCode>
                <c:ptCount val="1"/>
                <c:pt idx="0">
                  <c:v>11810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22E-4BCA-8100-B90CC850B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9863432"/>
        <c:axId val="1758105608"/>
      </c:barChart>
      <c:catAx>
        <c:axId val="1509863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105608"/>
        <c:crosses val="autoZero"/>
        <c:auto val="1"/>
        <c:lblAlgn val="ctr"/>
        <c:lblOffset val="100"/>
        <c:noMultiLvlLbl val="0"/>
      </c:catAx>
      <c:valAx>
        <c:axId val="1758105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863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142875</xdr:rowOff>
    </xdr:from>
    <xdr:to>
      <xdr:col>6</xdr:col>
      <xdr:colOff>1085850</xdr:colOff>
      <xdr:row>54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71CE7FA-6288-677B-5C6F-EFA214684F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257175</xdr:colOff>
      <xdr:row>33</xdr:row>
      <xdr:rowOff>28575</xdr:rowOff>
    </xdr:from>
    <xdr:to>
      <xdr:col>12</xdr:col>
      <xdr:colOff>1076325</xdr:colOff>
      <xdr:row>47</xdr:row>
      <xdr:rowOff>47625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5C7A45A-0264-0391-7EE7-778C7FACFB95}"/>
            </a:ext>
            <a:ext uri="{147F2762-F138-4A5C-976F-8EAC2B608ADB}">
              <a16:predDERef xmlns:a16="http://schemas.microsoft.com/office/drawing/2014/main" pred="{A71CE7FA-6288-677B-5C6F-EFA214684F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25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A02B8D-808D-FFB0-23CE-820766EA49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C69D8D-A7BC-4CD4-B40F-9AE600D23AB4}" name="Table1" displayName="Table1" ref="A1:F11" totalsRowShown="0">
  <autoFilter ref="A1:F11" xr:uid="{1AC69D8D-A7BC-4CD4-B40F-9AE600D23AB4}"/>
  <tableColumns count="6">
    <tableColumn id="1" xr3:uid="{D2A0419B-A871-4AA6-A793-33650D30E332}" name="Product"/>
    <tableColumn id="2" xr3:uid="{00861DE1-082E-48E2-8ECB-4CF5BF92CDF4}" name="Category"/>
    <tableColumn id="3" xr3:uid="{43D0142E-67AD-4D23-B0B5-C7C91A34BC7E}" name="Jan Sales" dataDxfId="7"/>
    <tableColumn id="4" xr3:uid="{3151AA7A-0110-4496-B3D8-59976B323CE7}" name="Feb Sales" dataDxfId="6"/>
    <tableColumn id="5" xr3:uid="{86416F5A-2050-4294-91E9-385CF3F783C6}" name="Mar Sales" dataDxfId="5"/>
    <tableColumn id="6" xr3:uid="{1A58B4F0-B0D5-4881-B4B5-0DADF0B56623}" name="Total" dataDxfId="4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4AC508-E065-4EC7-A312-0D828160D62F}" name="Table3" displayName="Table3" ref="G18:K24" totalsRowShown="0">
  <autoFilter ref="G18:K24" xr:uid="{544AC508-E065-4EC7-A312-0D828160D62F}"/>
  <tableColumns count="5">
    <tableColumn id="1" xr3:uid="{511C53C3-36B7-44C6-A76A-AABD5386EFD9}" name="Category Breakdown"/>
    <tableColumn id="2" xr3:uid="{A57A422E-7AB3-4405-88C9-4A3892C0D8BF}" name="Jan Sales" dataDxfId="3"/>
    <tableColumn id="3" xr3:uid="{396F4197-B926-479F-A015-21C553D98D35}" name="Feb Sales" dataDxfId="2"/>
    <tableColumn id="4" xr3:uid="{98F00E14-3798-434A-B4B0-C48A5946EB77}" name="Mar Sales" dataDxfId="1"/>
    <tableColumn id="5" xr3:uid="{075E08F7-4A59-4463-B462-B68E196C5C56}" name="Total" dataDxfId="0">
      <calculatedColumnFormula>SUM(H19:J19)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"/>
  <sheetViews>
    <sheetView tabSelected="1" topLeftCell="A15" workbookViewId="0">
      <selection activeCell="L26" sqref="L26"/>
    </sheetView>
  </sheetViews>
  <sheetFormatPr defaultRowHeight="15"/>
  <cols>
    <col min="1" max="1" width="12.28515625" bestFit="1" customWidth="1"/>
    <col min="2" max="2" width="12" bestFit="1" customWidth="1"/>
    <col min="3" max="3" width="15.5703125" bestFit="1" customWidth="1"/>
    <col min="4" max="4" width="15.85546875" bestFit="1" customWidth="1"/>
    <col min="5" max="5" width="16" bestFit="1" customWidth="1"/>
    <col min="6" max="6" width="10.7109375" bestFit="1" customWidth="1"/>
    <col min="7" max="7" width="24.140625" bestFit="1" customWidth="1"/>
    <col min="8" max="8" width="11.28515625" bestFit="1" customWidth="1"/>
    <col min="9" max="10" width="11.7109375" bestFit="1" customWidth="1"/>
    <col min="11" max="11" width="12.42578125" bestFit="1" customWidth="1"/>
    <col min="12" max="12" width="23.28515625" bestFit="1" customWidth="1"/>
    <col min="13" max="13" width="36.5703125" bestFit="1" customWidth="1"/>
  </cols>
  <sheetData>
    <row r="1" spans="1:2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22">
      <c r="A2" t="s">
        <v>6</v>
      </c>
      <c r="B2" t="s">
        <v>7</v>
      </c>
      <c r="C2" s="3">
        <v>1200</v>
      </c>
      <c r="D2" s="3">
        <v>1400</v>
      </c>
      <c r="E2" s="3">
        <v>1350</v>
      </c>
      <c r="F2" s="3">
        <f>SUM(C2:E2)</f>
        <v>3950</v>
      </c>
    </row>
    <row r="3" spans="1:22">
      <c r="A3" t="s">
        <v>8</v>
      </c>
      <c r="B3" t="s">
        <v>7</v>
      </c>
      <c r="C3" s="3">
        <v>800</v>
      </c>
      <c r="D3" s="3">
        <v>950</v>
      </c>
      <c r="E3" s="3">
        <v>1100</v>
      </c>
      <c r="F3" s="3">
        <f t="shared" ref="F3:F10" si="0">SUM(C3:E3)</f>
        <v>2850</v>
      </c>
    </row>
    <row r="4" spans="1:22">
      <c r="A4" t="s">
        <v>9</v>
      </c>
      <c r="B4" t="s">
        <v>7</v>
      </c>
      <c r="C4" s="3">
        <v>150</v>
      </c>
      <c r="D4" s="3">
        <v>200</v>
      </c>
      <c r="E4" s="3">
        <v>250</v>
      </c>
      <c r="F4" s="3">
        <f t="shared" si="0"/>
        <v>600</v>
      </c>
    </row>
    <row r="5" spans="1:22">
      <c r="A5" t="s">
        <v>10</v>
      </c>
      <c r="B5" t="s">
        <v>11</v>
      </c>
      <c r="C5" s="3">
        <v>350</v>
      </c>
      <c r="D5" s="3">
        <v>300</v>
      </c>
      <c r="E5" s="3">
        <v>400</v>
      </c>
      <c r="F5" s="3">
        <f t="shared" si="0"/>
        <v>1050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>
      <c r="A6" t="s">
        <v>12</v>
      </c>
      <c r="B6" t="s">
        <v>13</v>
      </c>
      <c r="C6" s="3">
        <v>120</v>
      </c>
      <c r="D6" s="3">
        <v>140</v>
      </c>
      <c r="E6" s="3">
        <v>160</v>
      </c>
      <c r="F6" s="3">
        <f t="shared" si="0"/>
        <v>420</v>
      </c>
      <c r="J6" s="4"/>
    </row>
    <row r="7" spans="1:22">
      <c r="A7" t="s">
        <v>14</v>
      </c>
      <c r="B7" t="s">
        <v>13</v>
      </c>
      <c r="C7" s="3">
        <v>80</v>
      </c>
      <c r="D7" s="3">
        <v>100</v>
      </c>
      <c r="E7" s="3">
        <v>110</v>
      </c>
      <c r="F7" s="3">
        <f t="shared" si="0"/>
        <v>290</v>
      </c>
    </row>
    <row r="8" spans="1:22">
      <c r="A8" t="s">
        <v>15</v>
      </c>
      <c r="B8" t="s">
        <v>16</v>
      </c>
      <c r="C8" s="3">
        <v>200</v>
      </c>
      <c r="D8" s="3">
        <v>250</v>
      </c>
      <c r="E8" s="3">
        <v>300</v>
      </c>
      <c r="F8" s="3">
        <f t="shared" si="0"/>
        <v>750</v>
      </c>
    </row>
    <row r="9" spans="1:22">
      <c r="A9" t="s">
        <v>17</v>
      </c>
      <c r="B9" t="s">
        <v>16</v>
      </c>
      <c r="C9" s="3">
        <v>300</v>
      </c>
      <c r="D9" s="3">
        <v>350</v>
      </c>
      <c r="E9" s="3">
        <v>400</v>
      </c>
      <c r="F9" s="3">
        <f t="shared" si="0"/>
        <v>1050</v>
      </c>
    </row>
    <row r="10" spans="1:22">
      <c r="A10" t="s">
        <v>18</v>
      </c>
      <c r="B10" t="s">
        <v>19</v>
      </c>
      <c r="C10" s="3">
        <v>250</v>
      </c>
      <c r="D10" s="3">
        <v>280</v>
      </c>
      <c r="E10" s="3">
        <v>320</v>
      </c>
      <c r="F10" s="3">
        <f t="shared" si="0"/>
        <v>850</v>
      </c>
    </row>
    <row r="11" spans="1:22">
      <c r="A11" t="s">
        <v>5</v>
      </c>
      <c r="C11" s="3">
        <f>SUM(C2:C10)</f>
        <v>3450</v>
      </c>
      <c r="D11" s="3">
        <f t="shared" ref="D11:E11" si="1">SUM(D2:D10)</f>
        <v>3970</v>
      </c>
      <c r="E11" s="3">
        <f t="shared" si="1"/>
        <v>4390</v>
      </c>
      <c r="F11" s="3">
        <f>SUM(F2:F10)</f>
        <v>11810</v>
      </c>
    </row>
    <row r="13" spans="1:22">
      <c r="G13" t="s">
        <v>20</v>
      </c>
      <c r="H13" s="3">
        <f>SUM(F2:F10)</f>
        <v>11810</v>
      </c>
    </row>
    <row r="14" spans="1:22" ht="25.5" customHeight="1">
      <c r="G14" t="s">
        <v>21</v>
      </c>
      <c r="H14" s="3">
        <f>AVERAGE(C11:E11)</f>
        <v>3936.6666666666665</v>
      </c>
    </row>
    <row r="15" spans="1:22" ht="17.25" customHeight="1">
      <c r="G15" t="s">
        <v>22</v>
      </c>
      <c r="H15" s="3" t="str">
        <f>INDEX($C$1:$E$1, MATCH(MAX(C11:E11), C11:E11, 0))</f>
        <v>Mar Sales</v>
      </c>
    </row>
    <row r="16" spans="1:22">
      <c r="G16" t="s">
        <v>23</v>
      </c>
      <c r="H16" s="3" t="str">
        <f>INDEX($C$1:$E$1, MATCH(MIN(C11:E11), C11:E11, 0))</f>
        <v>Jan Sales</v>
      </c>
    </row>
    <row r="17" spans="7:13" ht="18.75" customHeight="1"/>
    <row r="18" spans="7:13">
      <c r="G18" t="s">
        <v>24</v>
      </c>
      <c r="H18" t="s">
        <v>2</v>
      </c>
      <c r="I18" t="s">
        <v>3</v>
      </c>
      <c r="J18" t="s">
        <v>4</v>
      </c>
      <c r="K18" t="s">
        <v>5</v>
      </c>
    </row>
    <row r="19" spans="7:13">
      <c r="G19" t="s">
        <v>7</v>
      </c>
      <c r="H19" s="3">
        <f>SUMIF($B$2:$B$10, "Electronics", $C$2:$C$10)</f>
        <v>2150</v>
      </c>
      <c r="I19" s="3">
        <f>SUMIF($B$2:$B$10, "Electronics", $D$2:$D$10)</f>
        <v>2550</v>
      </c>
      <c r="J19" s="3">
        <f>SUMIF($B$2:$B$10, "Electronics", $E$2:$E$10)</f>
        <v>2700</v>
      </c>
      <c r="K19" s="3">
        <f>SUM(H19:J19)</f>
        <v>7400</v>
      </c>
    </row>
    <row r="20" spans="7:13">
      <c r="G20" t="s">
        <v>11</v>
      </c>
      <c r="H20" s="3">
        <f>SUMIF($B$2:$B$10, "Furniture", $C$2:$C$10)</f>
        <v>350</v>
      </c>
      <c r="I20" s="3">
        <f>SUMIF($B$2:$B$10, "Furniture", $D$2:$D$10)</f>
        <v>300</v>
      </c>
      <c r="J20" s="3">
        <f>SUMIF($B$2:$B$10, "Furniture", $E$2:$E$10)</f>
        <v>400</v>
      </c>
      <c r="K20" s="3">
        <f t="shared" ref="K20:K24" si="2">SUM(H20:J20)</f>
        <v>1050</v>
      </c>
    </row>
    <row r="21" spans="7:13" ht="20.25" customHeight="1">
      <c r="G21" t="s">
        <v>13</v>
      </c>
      <c r="H21" s="3">
        <f>SUMIF($B$2:$B$10, "Appliances", $C$2:$C$10)</f>
        <v>200</v>
      </c>
      <c r="I21" s="3">
        <f>SUMIF($B$2:$B$10, "Appliances", $D$2:$D$10)</f>
        <v>240</v>
      </c>
      <c r="J21" s="3">
        <f>SUMIF($B$2:$B$10, "Appliances", $E$2:$E$10)</f>
        <v>270</v>
      </c>
      <c r="K21" s="3">
        <f t="shared" si="2"/>
        <v>710</v>
      </c>
    </row>
    <row r="22" spans="7:13" ht="17.25" customHeight="1">
      <c r="G22" t="s">
        <v>16</v>
      </c>
      <c r="H22" s="3">
        <f>SUMIF($B$2:$B$10, "Clothing", $C$2:$C$10)</f>
        <v>500</v>
      </c>
      <c r="I22" s="3">
        <f>SUMIF($B$2:$B$10, "Clothing", $D$2:$D$10)</f>
        <v>600</v>
      </c>
      <c r="J22" s="3">
        <f>SUMIF($B$2:$B$10, "Clothing", $E$2:$E$10)</f>
        <v>700</v>
      </c>
      <c r="K22" s="3">
        <f t="shared" si="2"/>
        <v>1800</v>
      </c>
    </row>
    <row r="23" spans="7:13">
      <c r="G23" t="s">
        <v>19</v>
      </c>
      <c r="H23" s="3">
        <f>SUMIF($B$2:$B$10, "Footware", $C$2:$C$10)</f>
        <v>250</v>
      </c>
      <c r="I23" s="3">
        <f>SUMIF($B$2:$B$10, "Footware", $D$2:$D$10)</f>
        <v>280</v>
      </c>
      <c r="J23" s="3">
        <f>SUMIF($B$2:$B$10, "Footware", $E$2:$E$10)</f>
        <v>320</v>
      </c>
      <c r="K23" s="3">
        <f t="shared" si="2"/>
        <v>850</v>
      </c>
    </row>
    <row r="24" spans="7:13">
      <c r="G24" t="s">
        <v>25</v>
      </c>
      <c r="H24" s="3">
        <f>SUM(H19:H23)</f>
        <v>3450</v>
      </c>
      <c r="I24" s="3">
        <f t="shared" ref="I24:J24" si="3">SUM(I19:I23)</f>
        <v>3970</v>
      </c>
      <c r="J24" s="3">
        <f t="shared" si="3"/>
        <v>4390</v>
      </c>
      <c r="K24" s="3">
        <f t="shared" si="2"/>
        <v>11810</v>
      </c>
    </row>
    <row r="25" spans="7:13" ht="19.5" customHeight="1">
      <c r="L25" t="s">
        <v>26</v>
      </c>
    </row>
    <row r="26" spans="7:13" ht="43.5">
      <c r="L26" t="s">
        <v>27</v>
      </c>
      <c r="M26" s="1" t="str">
        <f>INDEX($G$19:$G$23, MATCH(MAX(H$19:H$23), H$19:H$23, 0))</f>
        <v>Electronics</v>
      </c>
    </row>
    <row r="27" spans="7:13">
      <c r="L27" t="s">
        <v>28</v>
      </c>
      <c r="M27" s="1" t="str">
        <f>INDEX($G$19:$G$23, MATCH(MAX(I$19:I$23), I$19:I$23, 0))</f>
        <v>Electronics</v>
      </c>
    </row>
    <row r="28" spans="7:13">
      <c r="L28" t="s">
        <v>29</v>
      </c>
      <c r="M28" s="1" t="str">
        <f>INDEX($G$19:$G$23, MATCH(MAX(J$19:J$23), J$19:J$23, 0))</f>
        <v>Electronics</v>
      </c>
    </row>
    <row r="34" ht="19.5" customHeight="1"/>
  </sheetData>
  <conditionalFormatting sqref="C2:C10">
    <cfRule type="top10" dxfId="15" priority="6" rank="1"/>
  </conditionalFormatting>
  <conditionalFormatting sqref="C2:C10">
    <cfRule type="top10" dxfId="14" priority="7" rank="1"/>
  </conditionalFormatting>
  <conditionalFormatting sqref="D2:D10">
    <cfRule type="top10" dxfId="13" priority="5" rank="1"/>
  </conditionalFormatting>
  <conditionalFormatting sqref="E2:E10">
    <cfRule type="top10" dxfId="12" priority="8" rank="1"/>
  </conditionalFormatting>
  <conditionalFormatting sqref="H19:H23">
    <cfRule type="top10" dxfId="11" priority="3" rank="1"/>
  </conditionalFormatting>
  <conditionalFormatting sqref="I19:I23">
    <cfRule type="top10" dxfId="10" priority="4" rank="1"/>
  </conditionalFormatting>
  <conditionalFormatting sqref="J19:J23">
    <cfRule type="top10" dxfId="9" priority="1" rank="1"/>
  </conditionalFormatting>
  <conditionalFormatting sqref="K19:K23">
    <cfRule type="top10" dxfId="8" priority="2" rank="1"/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61C42-CA61-44A6-A69C-770B605CD1CC}">
  <dimension ref="A1"/>
  <sheetViews>
    <sheetView workbookViewId="0">
      <selection activeCell="C8" sqref="C8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2025-04-10T17:53:45Z</dcterms:created>
  <dcterms:modified xsi:type="dcterms:W3CDTF">2025-12-18T22:28:25Z</dcterms:modified>
  <cp:category/>
  <cp:contentStatus/>
</cp:coreProperties>
</file>